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d0ed4d0ff0bbf80d/Desktop/"/>
    </mc:Choice>
  </mc:AlternateContent>
  <xr:revisionPtr revIDLastSave="444" documentId="11_AD4D5CB4E552A5DACE1C647EE0DB73DC5ADEDD88" xr6:coauthVersionLast="47" xr6:coauthVersionMax="47" xr10:uidLastSave="{9D820F55-E647-47D7-96F7-D1F0DDA70F22}"/>
  <bookViews>
    <workbookView xWindow="-108" yWindow="-108" windowWidth="23256" windowHeight="12456" xr2:uid="{00000000-000D-0000-FFFF-FFFF00000000}"/>
  </bookViews>
  <sheets>
    <sheet name="openmp" sheetId="1" r:id="rId1"/>
    <sheet name="mpi" sheetId="5" r:id="rId2"/>
    <sheet name="hybrid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6" l="1"/>
  <c r="D7" i="6" s="1"/>
  <c r="C6" i="6"/>
  <c r="D6" i="6" s="1"/>
  <c r="C5" i="6"/>
  <c r="D5" i="6" s="1"/>
  <c r="C4" i="6"/>
  <c r="D4" i="6" s="1"/>
  <c r="C3" i="6"/>
  <c r="D3" i="6" s="1"/>
  <c r="C7" i="5"/>
  <c r="D7" i="5" s="1"/>
  <c r="C6" i="5"/>
  <c r="D6" i="5" s="1"/>
  <c r="C5" i="5"/>
  <c r="D5" i="5" s="1"/>
  <c r="C4" i="5"/>
  <c r="D4" i="5" s="1"/>
  <c r="C3" i="5"/>
  <c r="D3" i="5" s="1"/>
  <c r="C7" i="1"/>
  <c r="D7" i="1" s="1"/>
  <c r="C6" i="1"/>
  <c r="D6" i="1" s="1"/>
  <c r="C5" i="1"/>
  <c r="D5" i="1" s="1"/>
  <c r="C4" i="1"/>
  <c r="D4" i="1" s="1"/>
  <c r="C3" i="1"/>
  <c r="D3" i="1" s="1"/>
</calcChain>
</file>

<file path=xl/sharedStrings.xml><?xml version="1.0" encoding="utf-8"?>
<sst xmlns="http://schemas.openxmlformats.org/spreadsheetml/2006/main" count="26" uniqueCount="10">
  <si>
    <t>N Processors</t>
  </si>
  <si>
    <t>Execution Time</t>
  </si>
  <si>
    <t>Speedup</t>
  </si>
  <si>
    <t>Efficiency</t>
  </si>
  <si>
    <t>IDEAL SPEED UP</t>
  </si>
  <si>
    <t>IDEAL EFFICIENCY</t>
  </si>
  <si>
    <t>sequential</t>
  </si>
  <si>
    <t>execution time</t>
  </si>
  <si>
    <t>mpi</t>
  </si>
  <si>
    <t>threads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</si>
</sst>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0000000"/>
    <numFmt numFmtId="166" formatCode="0.000000"/>
    <numFmt numFmtId="167" formatCode="#,##0.000000"/>
    <numFmt numFmtId="168" formatCode="0.0000"/>
  </numFmts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164" fontId="1" fillId="0" borderId="0" xfId="0" applyNumberFormat="1" applyFont="1"/>
    <xf numFmtId="2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165" fontId="1" fillId="0" borderId="0" xfId="0" applyNumberFormat="1" applyFont="1"/>
    <xf numFmtId="0" fontId="2" fillId="0" borderId="0" xfId="0" applyFont="1"/>
    <xf numFmtId="167" fontId="0" fillId="0" borderId="0" xfId="0" applyNumberFormat="1"/>
    <xf numFmtId="166" fontId="0" fillId="0" borderId="0" xfId="0" applyNumberFormat="1"/>
    <xf numFmtId="0" fontId="3" fillId="0" borderId="0" xfId="0" applyFont="1"/>
    <xf numFmtId="10" fontId="1" fillId="0" borderId="0" xfId="0" applyNumberFormat="1" applyFont="1"/>
    <xf numFmtId="9" fontId="1" fillId="0" borderId="0" xfId="0" applyNumberFormat="1" applyFont="1"/>
    <xf numFmtId="168" fontId="1" fillId="0" borderId="0" xfId="0" applyNumberFormat="1" applyFont="1"/>
  </cellXfs>
  <cellStyles count="1">
    <cellStyle name="Normale" xfId="0" builtinId="0"/>
  </cellStyles>
  <dxfs count="20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.00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8" formatCode="0.000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.00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.00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.00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0.0000000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</a:t>
            </a:r>
            <a:r>
              <a:rPr lang="en-US" b="1"/>
              <a:t>OPENMP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openmp!$B$1</c:f>
              <c:strCache>
                <c:ptCount val="1"/>
                <c:pt idx="0">
                  <c:v>Execution Time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openmp!$A$2:$A$7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20</c:v>
                </c:pt>
              </c:numCache>
            </c:numRef>
          </c:xVal>
          <c:yVal>
            <c:numRef>
              <c:f>openmp!$B$2:$B$7</c:f>
              <c:numCache>
                <c:formatCode>0.00000000</c:formatCode>
                <c:ptCount val="6"/>
                <c:pt idx="0">
                  <c:v>2.651437</c:v>
                </c:pt>
                <c:pt idx="1">
                  <c:v>1.5412030000000001</c:v>
                </c:pt>
                <c:pt idx="2">
                  <c:v>0.934554</c:v>
                </c:pt>
                <c:pt idx="3">
                  <c:v>0.54190199999999999</c:v>
                </c:pt>
                <c:pt idx="4">
                  <c:v>0.29432900000000001</c:v>
                </c:pt>
                <c:pt idx="5">
                  <c:v>0.25575700000000001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44-4B36-B8E8-B8F4C3FDA3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962496"/>
        <c:axId val="684766928"/>
      </c:scatterChart>
      <c:valAx>
        <c:axId val="502962496"/>
        <c:scaling>
          <c:orientation val="minMax"/>
          <c:max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# Number of Tasks</a:t>
                </a:r>
              </a:p>
            </c:rich>
          </c:tx>
          <c:layout>
            <c:manualLayout>
              <c:xMode val="edge"/>
              <c:yMode val="edge"/>
              <c:x val="0.41823490813648301"/>
              <c:y val="0.874050743657042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84766928"/>
        <c:crosses val="autoZero"/>
        <c:crossBetween val="midCat"/>
      </c:valAx>
      <c:valAx>
        <c:axId val="684766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Execution</a:t>
                </a:r>
                <a:r>
                  <a:rPr lang="it-IT" baseline="0"/>
                  <a:t> Time [s]</a:t>
                </a: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02962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SPEEDUP </a:t>
            </a: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OPENMP</a:t>
            </a:r>
            <a:endParaRPr lang="it-IT"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openmp!$C$1</c:f>
              <c:strCache>
                <c:ptCount val="1"/>
                <c:pt idx="0">
                  <c:v>Speedup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openmp!$A$2:$A$7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20</c:v>
                </c:pt>
              </c:numCache>
            </c:numRef>
          </c:xVal>
          <c:yVal>
            <c:numRef>
              <c:f>openmp!$C$2:$C$7</c:f>
              <c:numCache>
                <c:formatCode>0.000</c:formatCode>
                <c:ptCount val="6"/>
                <c:pt idx="0">
                  <c:v>1</c:v>
                </c:pt>
                <c:pt idx="1">
                  <c:v>1.7203684394593055</c:v>
                </c:pt>
                <c:pt idx="2">
                  <c:v>2.8371148162652986</c:v>
                </c:pt>
                <c:pt idx="3">
                  <c:v>4.8928348668209383</c:v>
                </c:pt>
                <c:pt idx="4">
                  <c:v>9.0084123548817825</c:v>
                </c:pt>
                <c:pt idx="5">
                  <c:v>10.367016347548649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4C-4594-922E-B8011DA0D39C}"/>
            </c:ext>
          </c:extLst>
        </c:ser>
        <c:ser>
          <c:idx val="1"/>
          <c:order val="1"/>
          <c:tx>
            <c:v>Ideal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openmp!$A$12:$A$13</c:f>
              <c:numCache>
                <c:formatCode>General</c:formatCode>
                <c:ptCount val="2"/>
                <c:pt idx="0">
                  <c:v>1</c:v>
                </c:pt>
                <c:pt idx="1">
                  <c:v>20</c:v>
                </c:pt>
              </c:numCache>
            </c:numRef>
          </c:xVal>
          <c:yVal>
            <c:numRef>
              <c:f>openmp!$B$12:$B$13</c:f>
              <c:numCache>
                <c:formatCode>General</c:formatCode>
                <c:ptCount val="2"/>
                <c:pt idx="0">
                  <c:v>1</c:v>
                </c:pt>
                <c:pt idx="1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B4C-4594-922E-B8011DA0D3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1665904"/>
        <c:axId val="684789968"/>
      </c:scatterChart>
      <c:valAx>
        <c:axId val="231665904"/>
        <c:scaling>
          <c:orientation val="minMax"/>
          <c:max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# Number of Tasks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84789968"/>
        <c:crosses val="autoZero"/>
        <c:crossBetween val="midCat"/>
      </c:valAx>
      <c:valAx>
        <c:axId val="684789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Speedup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316659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EFFICIENCY </a:t>
            </a:r>
            <a:r>
              <a:rPr lang="it-IT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OPENMP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openmp!$D$1</c:f>
              <c:strCache>
                <c:ptCount val="1"/>
                <c:pt idx="0">
                  <c:v>Efficiency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openmp!$A$2:$A$7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20</c:v>
                </c:pt>
              </c:numCache>
            </c:numRef>
          </c:xVal>
          <c:yVal>
            <c:numRef>
              <c:f>openmp!$D$2:$D$7</c:f>
              <c:numCache>
                <c:formatCode>0.00%</c:formatCode>
                <c:ptCount val="6"/>
                <c:pt idx="0">
                  <c:v>1</c:v>
                </c:pt>
                <c:pt idx="1">
                  <c:v>0.86018421972965275</c:v>
                </c:pt>
                <c:pt idx="2">
                  <c:v>0.70927870406632465</c:v>
                </c:pt>
                <c:pt idx="3">
                  <c:v>0.61160435835261728</c:v>
                </c:pt>
                <c:pt idx="4">
                  <c:v>0.56302577218011141</c:v>
                </c:pt>
                <c:pt idx="5">
                  <c:v>0.51835081737743249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C0-4B55-91E7-FD420159422B}"/>
            </c:ext>
          </c:extLst>
        </c:ser>
        <c:ser>
          <c:idx val="1"/>
          <c:order val="1"/>
          <c:tx>
            <c:v>Ideal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openmp!$A$17:$A$18</c:f>
              <c:numCache>
                <c:formatCode>General</c:formatCode>
                <c:ptCount val="2"/>
                <c:pt idx="0">
                  <c:v>1</c:v>
                </c:pt>
                <c:pt idx="1">
                  <c:v>20</c:v>
                </c:pt>
              </c:numCache>
            </c:numRef>
          </c:xVal>
          <c:yVal>
            <c:numRef>
              <c:f>openmp!$B$17:$B$18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8C0-4B55-91E7-FD42015942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914240"/>
        <c:axId val="684802928"/>
      </c:scatterChart>
      <c:valAx>
        <c:axId val="502914240"/>
        <c:scaling>
          <c:orientation val="minMax"/>
          <c:max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# Number of Tasks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84802928"/>
        <c:crosses val="autoZero"/>
        <c:crossBetween val="midCat"/>
      </c:valAx>
      <c:valAx>
        <c:axId val="68480292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Efficiency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029142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</a:t>
            </a:r>
            <a:r>
              <a:rPr lang="en-US" b="1"/>
              <a:t>MPI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mpi!$B$1</c:f>
              <c:strCache>
                <c:ptCount val="1"/>
                <c:pt idx="0">
                  <c:v>Execution Time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mpi!$A$2:$A$7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20</c:v>
                </c:pt>
              </c:numCache>
            </c:numRef>
          </c:xVal>
          <c:yVal>
            <c:numRef>
              <c:f>mpi!$B$2:$B$7</c:f>
              <c:numCache>
                <c:formatCode>0.000</c:formatCode>
                <c:ptCount val="6"/>
                <c:pt idx="0">
                  <c:v>7.77987699</c:v>
                </c:pt>
                <c:pt idx="1">
                  <c:v>4.2761760000000004</c:v>
                </c:pt>
                <c:pt idx="2">
                  <c:v>2.1978780000000002</c:v>
                </c:pt>
                <c:pt idx="3">
                  <c:v>1.2443040000000001</c:v>
                </c:pt>
                <c:pt idx="4">
                  <c:v>0.71725499999999998</c:v>
                </c:pt>
                <c:pt idx="5">
                  <c:v>0.584758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AC-4E32-934D-3B351C1B9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962496"/>
        <c:axId val="684766928"/>
      </c:scatterChart>
      <c:valAx>
        <c:axId val="502962496"/>
        <c:scaling>
          <c:orientation val="minMax"/>
          <c:max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# Number of Tasks</a:t>
                </a:r>
              </a:p>
            </c:rich>
          </c:tx>
          <c:layout>
            <c:manualLayout>
              <c:xMode val="edge"/>
              <c:yMode val="edge"/>
              <c:x val="0.41823490813648301"/>
              <c:y val="0.874050743657042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84766928"/>
        <c:crosses val="autoZero"/>
        <c:crossBetween val="midCat"/>
      </c:valAx>
      <c:valAx>
        <c:axId val="684766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Execution</a:t>
                </a:r>
                <a:r>
                  <a:rPr lang="it-IT" baseline="0"/>
                  <a:t> Time [s]</a:t>
                </a: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02962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SPEEDUP </a:t>
            </a: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MPI</a:t>
            </a:r>
            <a:endParaRPr lang="it-IT"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mpi!$C$1</c:f>
              <c:strCache>
                <c:ptCount val="1"/>
                <c:pt idx="0">
                  <c:v>Speedup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mpi!$A$2:$A$7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20</c:v>
                </c:pt>
              </c:numCache>
            </c:numRef>
          </c:xVal>
          <c:yVal>
            <c:numRef>
              <c:f>mpi!$C$2:$C$7</c:f>
              <c:numCache>
                <c:formatCode>0.000</c:formatCode>
                <c:ptCount val="6"/>
                <c:pt idx="0">
                  <c:v>1</c:v>
                </c:pt>
                <c:pt idx="1">
                  <c:v>1.8193537847834138</c:v>
                </c:pt>
                <c:pt idx="2">
                  <c:v>3.5397219454401014</c:v>
                </c:pt>
                <c:pt idx="3">
                  <c:v>6.2523924941171929</c:v>
                </c:pt>
                <c:pt idx="4">
                  <c:v>10.846737896563983</c:v>
                </c:pt>
                <c:pt idx="5">
                  <c:v>13.304438742180526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21-48B2-9E0C-04EF430721F4}"/>
            </c:ext>
          </c:extLst>
        </c:ser>
        <c:ser>
          <c:idx val="1"/>
          <c:order val="1"/>
          <c:tx>
            <c:v>Ideal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mpi!$A$12:$A$13</c:f>
              <c:numCache>
                <c:formatCode>General</c:formatCode>
                <c:ptCount val="2"/>
                <c:pt idx="0">
                  <c:v>1</c:v>
                </c:pt>
                <c:pt idx="1">
                  <c:v>20</c:v>
                </c:pt>
              </c:numCache>
            </c:numRef>
          </c:xVal>
          <c:yVal>
            <c:numRef>
              <c:f>mpi!$B$12:$B$13</c:f>
              <c:numCache>
                <c:formatCode>General</c:formatCode>
                <c:ptCount val="2"/>
                <c:pt idx="0">
                  <c:v>1</c:v>
                </c:pt>
                <c:pt idx="1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F21-48B2-9E0C-04EF430721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1665904"/>
        <c:axId val="684789968"/>
      </c:scatterChart>
      <c:valAx>
        <c:axId val="231665904"/>
        <c:scaling>
          <c:orientation val="minMax"/>
          <c:max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# Number of Tasks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84789968"/>
        <c:crosses val="autoZero"/>
        <c:crossBetween val="midCat"/>
      </c:valAx>
      <c:valAx>
        <c:axId val="684789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Speedup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316659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EFFICIENCY </a:t>
            </a: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MPI</a:t>
            </a:r>
            <a:endParaRPr lang="it-IT"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mpi!$D$1</c:f>
              <c:strCache>
                <c:ptCount val="1"/>
                <c:pt idx="0">
                  <c:v>Efficiency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mpi!$A$2:$A$7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20</c:v>
                </c:pt>
              </c:numCache>
            </c:numRef>
          </c:xVal>
          <c:yVal>
            <c:numRef>
              <c:f>mpi!$D$2:$D$7</c:f>
              <c:numCache>
                <c:formatCode>0%</c:formatCode>
                <c:ptCount val="6"/>
                <c:pt idx="0">
                  <c:v>1</c:v>
                </c:pt>
                <c:pt idx="1">
                  <c:v>0.9096768923917069</c:v>
                </c:pt>
                <c:pt idx="2">
                  <c:v>0.88493048636002536</c:v>
                </c:pt>
                <c:pt idx="3">
                  <c:v>0.78154906176464911</c:v>
                </c:pt>
                <c:pt idx="4">
                  <c:v>0.67792111853524895</c:v>
                </c:pt>
                <c:pt idx="5">
                  <c:v>0.66522193710902633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FB-442F-B32A-132C86019942}"/>
            </c:ext>
          </c:extLst>
        </c:ser>
        <c:ser>
          <c:idx val="1"/>
          <c:order val="1"/>
          <c:tx>
            <c:v>Ideal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mpi!$A$17:$A$18</c:f>
              <c:numCache>
                <c:formatCode>General</c:formatCode>
                <c:ptCount val="2"/>
                <c:pt idx="0">
                  <c:v>1</c:v>
                </c:pt>
                <c:pt idx="1">
                  <c:v>20</c:v>
                </c:pt>
              </c:numCache>
            </c:numRef>
          </c:xVal>
          <c:yVal>
            <c:numRef>
              <c:f>mpi!$B$17:$B$18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5FB-442F-B32A-132C860199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914240"/>
        <c:axId val="684802928"/>
      </c:scatterChart>
      <c:valAx>
        <c:axId val="502914240"/>
        <c:scaling>
          <c:orientation val="minMax"/>
          <c:max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# Number of Tasks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84802928"/>
        <c:crosses val="autoZero"/>
        <c:crossBetween val="midCat"/>
      </c:valAx>
      <c:valAx>
        <c:axId val="68480292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Efficiency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029142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</a:t>
            </a:r>
            <a:r>
              <a:rPr lang="en-US" b="1"/>
              <a:t>HYBRID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hybrid!$B$1</c:f>
              <c:strCache>
                <c:ptCount val="1"/>
                <c:pt idx="0">
                  <c:v>Execution Time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hybrid!$A$2:$A$7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20</c:v>
                </c:pt>
              </c:numCache>
            </c:numRef>
          </c:xVal>
          <c:yVal>
            <c:numRef>
              <c:f>hybrid!$B$2:$B$7</c:f>
              <c:numCache>
                <c:formatCode>0.0000</c:formatCode>
                <c:ptCount val="6"/>
                <c:pt idx="0">
                  <c:v>2.7533759999999998</c:v>
                </c:pt>
                <c:pt idx="1">
                  <c:v>1.498038</c:v>
                </c:pt>
                <c:pt idx="2">
                  <c:v>0.86882899999999996</c:v>
                </c:pt>
                <c:pt idx="3">
                  <c:v>0.48368100000000003</c:v>
                </c:pt>
                <c:pt idx="4">
                  <c:v>0.26055899999999999</c:v>
                </c:pt>
                <c:pt idx="5">
                  <c:v>0.234514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02-4A49-83AC-2841314E1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962496"/>
        <c:axId val="684766928"/>
      </c:scatterChart>
      <c:valAx>
        <c:axId val="502962496"/>
        <c:scaling>
          <c:orientation val="minMax"/>
          <c:max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# Number of Tasks</a:t>
                </a:r>
              </a:p>
            </c:rich>
          </c:tx>
          <c:layout>
            <c:manualLayout>
              <c:xMode val="edge"/>
              <c:yMode val="edge"/>
              <c:x val="0.41823490813648301"/>
              <c:y val="0.874050743657042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84766928"/>
        <c:crosses val="autoZero"/>
        <c:crossBetween val="midCat"/>
      </c:valAx>
      <c:valAx>
        <c:axId val="684766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Execution</a:t>
                </a:r>
                <a:r>
                  <a:rPr lang="it-IT" baseline="0"/>
                  <a:t> Time [s]</a:t>
                </a: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02962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SPEEDUP </a:t>
            </a: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HYBRID</a:t>
            </a:r>
            <a:endParaRPr lang="it-IT"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hybrid!$C$1</c:f>
              <c:strCache>
                <c:ptCount val="1"/>
                <c:pt idx="0">
                  <c:v>Speedup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hybrid!$A$2:$A$7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20</c:v>
                </c:pt>
              </c:numCache>
            </c:numRef>
          </c:xVal>
          <c:yVal>
            <c:numRef>
              <c:f>hybrid!$C$2:$C$7</c:f>
              <c:numCache>
                <c:formatCode>0.000</c:formatCode>
                <c:ptCount val="6"/>
                <c:pt idx="0">
                  <c:v>1</c:v>
                </c:pt>
                <c:pt idx="1">
                  <c:v>1.8379880884196529</c:v>
                </c:pt>
                <c:pt idx="2">
                  <c:v>3.1690654892965129</c:v>
                </c:pt>
                <c:pt idx="3">
                  <c:v>5.6925452932821416</c:v>
                </c:pt>
                <c:pt idx="4">
                  <c:v>10.567188237596859</c:v>
                </c:pt>
                <c:pt idx="5">
                  <c:v>11.740774537980673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EE-47CF-A569-1FF8DBC229EE}"/>
            </c:ext>
          </c:extLst>
        </c:ser>
        <c:ser>
          <c:idx val="1"/>
          <c:order val="1"/>
          <c:tx>
            <c:v>Ideal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hybrid!$A$12:$A$13</c:f>
              <c:numCache>
                <c:formatCode>General</c:formatCode>
                <c:ptCount val="2"/>
                <c:pt idx="0">
                  <c:v>1</c:v>
                </c:pt>
                <c:pt idx="1">
                  <c:v>20</c:v>
                </c:pt>
              </c:numCache>
            </c:numRef>
          </c:xVal>
          <c:yVal>
            <c:numRef>
              <c:f>hybrid!$B$12:$B$13</c:f>
              <c:numCache>
                <c:formatCode>General</c:formatCode>
                <c:ptCount val="2"/>
                <c:pt idx="0">
                  <c:v>1</c:v>
                </c:pt>
                <c:pt idx="1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DEE-47CF-A569-1FF8DBC229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1665904"/>
        <c:axId val="684789968"/>
      </c:scatterChart>
      <c:valAx>
        <c:axId val="231665904"/>
        <c:scaling>
          <c:orientation val="minMax"/>
          <c:max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# Number of Tasks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84789968"/>
        <c:crosses val="autoZero"/>
        <c:crossBetween val="midCat"/>
      </c:valAx>
      <c:valAx>
        <c:axId val="684789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Speedup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316659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EFFICIENCY </a:t>
            </a: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HYBRID</a:t>
            </a:r>
            <a:endParaRPr lang="it-IT"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hybrid!$D$1</c:f>
              <c:strCache>
                <c:ptCount val="1"/>
                <c:pt idx="0">
                  <c:v>Efficiency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hybrid!$A$2:$A$7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20</c:v>
                </c:pt>
              </c:numCache>
            </c:numRef>
          </c:xVal>
          <c:yVal>
            <c:numRef>
              <c:f>hybrid!$D$2:$D$7</c:f>
              <c:numCache>
                <c:formatCode>0%</c:formatCode>
                <c:ptCount val="6"/>
                <c:pt idx="0">
                  <c:v>1</c:v>
                </c:pt>
                <c:pt idx="1">
                  <c:v>0.91899404420982644</c:v>
                </c:pt>
                <c:pt idx="2">
                  <c:v>0.79226637232412822</c:v>
                </c:pt>
                <c:pt idx="3">
                  <c:v>0.71156816166026771</c:v>
                </c:pt>
                <c:pt idx="4">
                  <c:v>0.66044926484980371</c:v>
                </c:pt>
                <c:pt idx="5">
                  <c:v>0.58703872689903369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13-4498-8869-BF937118DE1F}"/>
            </c:ext>
          </c:extLst>
        </c:ser>
        <c:ser>
          <c:idx val="1"/>
          <c:order val="1"/>
          <c:tx>
            <c:v>Ideal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hybrid!$A$17:$A$18</c:f>
              <c:numCache>
                <c:formatCode>General</c:formatCode>
                <c:ptCount val="2"/>
                <c:pt idx="0">
                  <c:v>1</c:v>
                </c:pt>
                <c:pt idx="1">
                  <c:v>20</c:v>
                </c:pt>
              </c:numCache>
            </c:numRef>
          </c:xVal>
          <c:yVal>
            <c:numRef>
              <c:f>hybrid!$B$17:$B$18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E13-4498-8869-BF937118DE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914240"/>
        <c:axId val="684802928"/>
      </c:scatterChart>
      <c:valAx>
        <c:axId val="502914240"/>
        <c:scaling>
          <c:orientation val="minMax"/>
          <c:max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# Number of Tasks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84802928"/>
        <c:crosses val="autoZero"/>
        <c:crossBetween val="midCat"/>
      </c:valAx>
      <c:valAx>
        <c:axId val="68480292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Efficiency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029142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264160</xdr:colOff>
      <xdr:row>2</xdr:row>
      <xdr:rowOff>162560</xdr:rowOff>
    </xdr:from>
    <xdr:to>
      <xdr:col>14</xdr:col>
      <xdr:colOff>81280</xdr:colOff>
      <xdr:row>18</xdr:row>
      <xdr:rowOff>50800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14ECED24-6AC1-92B5-EB59-F8B51BF60A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284480</xdr:colOff>
      <xdr:row>21</xdr:row>
      <xdr:rowOff>50800</xdr:rowOff>
    </xdr:from>
    <xdr:to>
      <xdr:col>14</xdr:col>
      <xdr:colOff>497840</xdr:colOff>
      <xdr:row>37</xdr:row>
      <xdr:rowOff>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C6085A68-2667-3E07-0F9A-4469293DF9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294640</xdr:colOff>
      <xdr:row>21</xdr:row>
      <xdr:rowOff>20320</xdr:rowOff>
    </xdr:from>
    <xdr:to>
      <xdr:col>25</xdr:col>
      <xdr:colOff>304800</xdr:colOff>
      <xdr:row>36</xdr:row>
      <xdr:rowOff>101600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A375AAE8-927C-8963-4BD8-97F4BB21F2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264160</xdr:colOff>
      <xdr:row>2</xdr:row>
      <xdr:rowOff>162560</xdr:rowOff>
    </xdr:from>
    <xdr:to>
      <xdr:col>14</xdr:col>
      <xdr:colOff>81280</xdr:colOff>
      <xdr:row>18</xdr:row>
      <xdr:rowOff>50800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3ED81AC0-0443-4676-BB0F-446B5220B9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284480</xdr:colOff>
      <xdr:row>21</xdr:row>
      <xdr:rowOff>50800</xdr:rowOff>
    </xdr:from>
    <xdr:to>
      <xdr:col>14</xdr:col>
      <xdr:colOff>497840</xdr:colOff>
      <xdr:row>37</xdr:row>
      <xdr:rowOff>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A3E98796-15D2-48E5-84BD-F3DA7BEE7D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294640</xdr:colOff>
      <xdr:row>21</xdr:row>
      <xdr:rowOff>20320</xdr:rowOff>
    </xdr:from>
    <xdr:to>
      <xdr:col>25</xdr:col>
      <xdr:colOff>304800</xdr:colOff>
      <xdr:row>36</xdr:row>
      <xdr:rowOff>101600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95950132-21DC-49FA-905E-F21DA3E89F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418619</xdr:colOff>
      <xdr:row>2</xdr:row>
      <xdr:rowOff>162560</xdr:rowOff>
    </xdr:from>
    <xdr:to>
      <xdr:col>16</xdr:col>
      <xdr:colOff>235740</xdr:colOff>
      <xdr:row>18</xdr:row>
      <xdr:rowOff>50800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E219189B-B172-4053-9CAB-28991EB70B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284480</xdr:colOff>
      <xdr:row>21</xdr:row>
      <xdr:rowOff>50800</xdr:rowOff>
    </xdr:from>
    <xdr:to>
      <xdr:col>14</xdr:col>
      <xdr:colOff>497840</xdr:colOff>
      <xdr:row>37</xdr:row>
      <xdr:rowOff>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250BE912-4617-4F02-AF66-B5AFFD7CAA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294640</xdr:colOff>
      <xdr:row>21</xdr:row>
      <xdr:rowOff>20320</xdr:rowOff>
    </xdr:from>
    <xdr:to>
      <xdr:col>25</xdr:col>
      <xdr:colOff>304800</xdr:colOff>
      <xdr:row>36</xdr:row>
      <xdr:rowOff>101600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E2F0981A-2ECE-4086-AD67-1E57F4C881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486A00-09D9-4B8E-BFBE-A324D18DE3BC}" name="Tabella1" displayName="Tabella1" ref="A1:D7" totalsRowShown="0" headerRowDxfId="14" dataDxfId="13">
  <autoFilter ref="A1:D7" xr:uid="{12486A00-09D9-4B8E-BFBE-A324D18DE3BC}"/>
  <tableColumns count="4">
    <tableColumn id="1" xr3:uid="{675ABC18-0157-488F-816C-42699210BD5B}" name="N Processors" dataDxfId="12"/>
    <tableColumn id="2" xr3:uid="{03287469-C3A8-4147-B2EE-9D3A546B63CF}" name="Execution Time" dataDxfId="11"/>
    <tableColumn id="3" xr3:uid="{522FF196-2B72-4B79-951A-ED2BC8A8C1DA}" name="Speedup" dataDxfId="10"/>
    <tableColumn id="4" xr3:uid="{983E4EF1-3C27-4ABB-9F5A-D8DA88067B8B}" name="Efficiency" dataDxfId="0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196E080-BF82-407B-9BBC-77D409B35C1C}" name="Tabella13" displayName="Tabella13" ref="A1:D7" totalsRowShown="0" headerRowDxfId="9" dataDxfId="8">
  <autoFilter ref="A1:D7" xr:uid="{12486A00-09D9-4B8E-BFBE-A324D18DE3BC}"/>
  <tableColumns count="4">
    <tableColumn id="1" xr3:uid="{DE8F23FA-0DB6-477E-A7F4-4C4773A4CEC4}" name="N Processors" dataDxfId="7"/>
    <tableColumn id="2" xr3:uid="{A63E1123-6325-4CBF-846F-667180F2B78D}" name="Execution Time" dataDxfId="2"/>
    <tableColumn id="3" xr3:uid="{97200323-EFCD-4CAE-824D-A418343A5015}" name="Speedup" dataDxfId="6"/>
    <tableColumn id="4" xr3:uid="{35473EA3-E916-4C26-8C7E-3FD2241D0B6B}" name="Efficiency" dataDxfId="1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7CF2781-61CA-44F9-8822-6083580278F2}" name="Tabella134" displayName="Tabella134" ref="A1:F7" totalsRowShown="0" headerRowDxfId="19" dataDxfId="18">
  <autoFilter ref="A1:F7" xr:uid="{12486A00-09D9-4B8E-BFBE-A324D18DE3BC}"/>
  <tableColumns count="6">
    <tableColumn id="1" xr3:uid="{CC2741F0-D2FE-4DCA-B61C-1A8D77D4EEAA}" name="N Processors" dataDxfId="17"/>
    <tableColumn id="2" xr3:uid="{B9DE8761-7F1C-4457-866F-20317834B193}" name="Execution Time" dataDxfId="3"/>
    <tableColumn id="3" xr3:uid="{C6713CDB-4D58-4497-B508-54065A1B92B2}" name="Speedup" dataDxfId="4"/>
    <tableColumn id="4" xr3:uid="{1C350D3A-6E6C-473D-9C52-248FC97C3A52}" name="Efficiency" dataDxfId="5"/>
    <tableColumn id="6" xr3:uid="{F87EDAD7-5437-429C-BFF3-24D0DD961B80}" name="mpi" dataDxfId="16"/>
    <tableColumn id="7" xr3:uid="{90184CFC-D15A-4756-A82C-54C2BBA97B32}" name="threads" dataDxfId="15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"/>
  <sheetViews>
    <sheetView tabSelected="1" zoomScale="59" zoomScaleNormal="55" workbookViewId="0">
      <selection activeCell="Y14" sqref="Y14"/>
    </sheetView>
  </sheetViews>
  <sheetFormatPr defaultRowHeight="14.4" x14ac:dyDescent="0.3"/>
  <cols>
    <col min="1" max="1" width="16.21875" customWidth="1"/>
    <col min="2" max="2" width="20.6640625" customWidth="1"/>
    <col min="3" max="3" width="12.77734375" customWidth="1"/>
    <col min="4" max="4" width="21.441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">
      <c r="A2" s="1">
        <v>1</v>
      </c>
      <c r="B2" s="10">
        <v>2.651437</v>
      </c>
      <c r="C2" s="2">
        <v>1</v>
      </c>
      <c r="D2" s="15">
        <v>1</v>
      </c>
    </row>
    <row r="3" spans="1:6" x14ac:dyDescent="0.3">
      <c r="A3" s="1">
        <v>2</v>
      </c>
      <c r="B3" s="10">
        <v>1.5412030000000001</v>
      </c>
      <c r="C3" s="2">
        <f>$B2/Tabella1[[#This Row],[Execution Time]]</f>
        <v>1.7203684394593055</v>
      </c>
      <c r="D3" s="15">
        <f>Tabella1[[#This Row],[Speedup]]/Tabella1[[#This Row],[N Processors]]</f>
        <v>0.86018421972965275</v>
      </c>
    </row>
    <row r="4" spans="1:6" x14ac:dyDescent="0.3">
      <c r="A4" s="1">
        <v>4</v>
      </c>
      <c r="B4" s="10">
        <v>0.934554</v>
      </c>
      <c r="C4" s="2">
        <f>B2/Tabella1[[#This Row],[Execution Time]]</f>
        <v>2.8371148162652986</v>
      </c>
      <c r="D4" s="15">
        <f>Tabella1[[#This Row],[Speedup]]/Tabella1[[#This Row],[N Processors]]</f>
        <v>0.70927870406632465</v>
      </c>
    </row>
    <row r="5" spans="1:6" x14ac:dyDescent="0.3">
      <c r="A5" s="1">
        <v>8</v>
      </c>
      <c r="B5" s="10">
        <v>0.54190199999999999</v>
      </c>
      <c r="C5" s="2">
        <f>$B2/Tabella1[[#This Row],[Execution Time]]</f>
        <v>4.8928348668209383</v>
      </c>
      <c r="D5" s="15">
        <f>Tabella1[[#This Row],[Speedup]]/Tabella1[[#This Row],[N Processors]]</f>
        <v>0.61160435835261728</v>
      </c>
    </row>
    <row r="6" spans="1:6" x14ac:dyDescent="0.3">
      <c r="A6" s="1">
        <v>16</v>
      </c>
      <c r="B6" s="10">
        <v>0.29432900000000001</v>
      </c>
      <c r="C6" s="2">
        <f>$B2/Tabella1[[#This Row],[Execution Time]]</f>
        <v>9.0084123548817825</v>
      </c>
      <c r="D6" s="15">
        <f>Tabella1[[#This Row],[Speedup]]/Tabella1[[#This Row],[N Processors]]</f>
        <v>0.56302577218011141</v>
      </c>
    </row>
    <row r="7" spans="1:6" x14ac:dyDescent="0.3">
      <c r="A7" s="1">
        <v>20</v>
      </c>
      <c r="B7" s="10">
        <v>0.25575700000000001</v>
      </c>
      <c r="C7" s="2">
        <f>$B2/Tabella1[[#This Row],[Execution Time]]</f>
        <v>10.367016347548649</v>
      </c>
      <c r="D7" s="15">
        <f>Tabella1[[#This Row],[Speedup]]/Tabella1[[#This Row],[N Processors]]</f>
        <v>0.51835081737743249</v>
      </c>
      <c r="F7" s="11"/>
    </row>
    <row r="11" spans="1:6" x14ac:dyDescent="0.3">
      <c r="A11" s="4" t="s">
        <v>4</v>
      </c>
      <c r="B11" s="5"/>
    </row>
    <row r="12" spans="1:6" x14ac:dyDescent="0.3">
      <c r="A12" s="6">
        <v>1</v>
      </c>
      <c r="B12" s="7">
        <v>1</v>
      </c>
    </row>
    <row r="13" spans="1:6" x14ac:dyDescent="0.3">
      <c r="A13" s="8">
        <v>20</v>
      </c>
      <c r="B13" s="9">
        <v>20</v>
      </c>
    </row>
    <row r="16" spans="1:6" x14ac:dyDescent="0.3">
      <c r="A16" s="4" t="s">
        <v>5</v>
      </c>
      <c r="B16" s="5"/>
    </row>
    <row r="17" spans="1:3" x14ac:dyDescent="0.3">
      <c r="A17" s="6">
        <v>1</v>
      </c>
      <c r="B17" s="7">
        <v>1</v>
      </c>
    </row>
    <row r="18" spans="1:3" x14ac:dyDescent="0.3">
      <c r="A18" s="8">
        <v>20</v>
      </c>
      <c r="B18" s="9">
        <v>1</v>
      </c>
    </row>
    <row r="23" spans="1:3" x14ac:dyDescent="0.3">
      <c r="B23" t="s">
        <v>7</v>
      </c>
    </row>
    <row r="24" spans="1:3" x14ac:dyDescent="0.3">
      <c r="A24" t="s">
        <v>6</v>
      </c>
      <c r="B24" s="12">
        <v>1.798848</v>
      </c>
      <c r="C24" s="13"/>
    </row>
    <row r="36" spans="9:9" x14ac:dyDescent="0.3">
      <c r="I36" s="11"/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0F816-74E9-48EF-AA9A-C99C66178FAC}">
  <dimension ref="A1:I36"/>
  <sheetViews>
    <sheetView zoomScale="66" zoomScaleNormal="55" workbookViewId="0">
      <selection activeCell="R9" sqref="R9"/>
    </sheetView>
  </sheetViews>
  <sheetFormatPr defaultRowHeight="14.4" x14ac:dyDescent="0.3"/>
  <cols>
    <col min="1" max="1" width="16.21875" customWidth="1"/>
    <col min="2" max="2" width="20.6640625" customWidth="1"/>
    <col min="3" max="3" width="12.77734375" customWidth="1"/>
    <col min="4" max="4" width="21.441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">
      <c r="A2" s="1">
        <v>1</v>
      </c>
      <c r="B2" s="2">
        <v>7.77987699</v>
      </c>
      <c r="C2" s="2">
        <v>1</v>
      </c>
      <c r="D2" s="16">
        <v>1</v>
      </c>
    </row>
    <row r="3" spans="1:6" x14ac:dyDescent="0.3">
      <c r="A3" s="1">
        <v>2</v>
      </c>
      <c r="B3" s="2">
        <v>4.2761760000000004</v>
      </c>
      <c r="C3" s="2">
        <f>$B2/Tabella13[[#This Row],[Execution Time]]</f>
        <v>1.8193537847834138</v>
      </c>
      <c r="D3" s="16">
        <f>Tabella13[[#This Row],[Speedup]]/Tabella13[[#This Row],[N Processors]]</f>
        <v>0.9096768923917069</v>
      </c>
    </row>
    <row r="4" spans="1:6" x14ac:dyDescent="0.3">
      <c r="A4" s="1">
        <v>4</v>
      </c>
      <c r="B4" s="2">
        <v>2.1978780000000002</v>
      </c>
      <c r="C4" s="2">
        <f>B2/Tabella13[[#This Row],[Execution Time]]</f>
        <v>3.5397219454401014</v>
      </c>
      <c r="D4" s="16">
        <f>Tabella13[[#This Row],[Speedup]]/Tabella13[[#This Row],[N Processors]]</f>
        <v>0.88493048636002536</v>
      </c>
    </row>
    <row r="5" spans="1:6" x14ac:dyDescent="0.3">
      <c r="A5" s="1">
        <v>8</v>
      </c>
      <c r="B5" s="2">
        <v>1.2443040000000001</v>
      </c>
      <c r="C5" s="2">
        <f>$B2/Tabella13[[#This Row],[Execution Time]]</f>
        <v>6.2523924941171929</v>
      </c>
      <c r="D5" s="16">
        <f>Tabella13[[#This Row],[Speedup]]/Tabella13[[#This Row],[N Processors]]</f>
        <v>0.78154906176464911</v>
      </c>
    </row>
    <row r="6" spans="1:6" x14ac:dyDescent="0.3">
      <c r="A6" s="1">
        <v>16</v>
      </c>
      <c r="B6" s="2">
        <v>0.71725499999999998</v>
      </c>
      <c r="C6" s="2">
        <f>$B2/Tabella13[[#This Row],[Execution Time]]</f>
        <v>10.846737896563983</v>
      </c>
      <c r="D6" s="16">
        <f>Tabella13[[#This Row],[Speedup]]/Tabella13[[#This Row],[N Processors]]</f>
        <v>0.67792111853524895</v>
      </c>
    </row>
    <row r="7" spans="1:6" x14ac:dyDescent="0.3">
      <c r="A7" s="1">
        <v>20</v>
      </c>
      <c r="B7" s="2">
        <v>0.584758</v>
      </c>
      <c r="C7" s="2">
        <f>$B2/Tabella13[[#This Row],[Execution Time]]</f>
        <v>13.304438742180526</v>
      </c>
      <c r="D7" s="16">
        <f>Tabella13[[#This Row],[Speedup]]/Tabella13[[#This Row],[N Processors]]</f>
        <v>0.66522193710902633</v>
      </c>
      <c r="F7" s="11"/>
    </row>
    <row r="11" spans="1:6" x14ac:dyDescent="0.3">
      <c r="A11" s="4" t="s">
        <v>4</v>
      </c>
      <c r="B11" s="5"/>
    </row>
    <row r="12" spans="1:6" x14ac:dyDescent="0.3">
      <c r="A12" s="6">
        <v>1</v>
      </c>
      <c r="B12" s="7">
        <v>1</v>
      </c>
    </row>
    <row r="13" spans="1:6" x14ac:dyDescent="0.3">
      <c r="A13" s="8">
        <v>20</v>
      </c>
      <c r="B13" s="9">
        <v>20</v>
      </c>
    </row>
    <row r="16" spans="1:6" x14ac:dyDescent="0.3">
      <c r="A16" s="4" t="s">
        <v>5</v>
      </c>
      <c r="B16" s="5"/>
    </row>
    <row r="17" spans="1:4" x14ac:dyDescent="0.3">
      <c r="A17" s="6">
        <v>1</v>
      </c>
      <c r="B17" s="7">
        <v>1</v>
      </c>
    </row>
    <row r="18" spans="1:4" x14ac:dyDescent="0.3">
      <c r="A18" s="8">
        <v>20</v>
      </c>
      <c r="B18" s="9">
        <v>1</v>
      </c>
    </row>
    <row r="19" spans="1:4" x14ac:dyDescent="0.3">
      <c r="D19" s="3"/>
    </row>
    <row r="23" spans="1:4" x14ac:dyDescent="0.3">
      <c r="B23" t="s">
        <v>7</v>
      </c>
    </row>
    <row r="24" spans="1:4" x14ac:dyDescent="0.3">
      <c r="A24" t="s">
        <v>6</v>
      </c>
      <c r="B24" s="12">
        <v>1.798848</v>
      </c>
      <c r="C24" s="13"/>
    </row>
    <row r="36" spans="9:9" x14ac:dyDescent="0.3">
      <c r="I36" s="11"/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08718-CA81-4D21-AD34-527B2DD49BC9}">
  <dimension ref="A1:I36"/>
  <sheetViews>
    <sheetView topLeftCell="B4" zoomScale="74" zoomScaleNormal="55" workbookViewId="0">
      <selection activeCell="S17" sqref="S17"/>
    </sheetView>
  </sheetViews>
  <sheetFormatPr defaultRowHeight="14.4" x14ac:dyDescent="0.3"/>
  <cols>
    <col min="1" max="1" width="16.21875" customWidth="1"/>
    <col min="2" max="2" width="20.6640625" customWidth="1"/>
    <col min="3" max="3" width="12.77734375" customWidth="1"/>
    <col min="4" max="4" width="21.441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9</v>
      </c>
    </row>
    <row r="2" spans="1:6" x14ac:dyDescent="0.3">
      <c r="A2" s="1">
        <v>1</v>
      </c>
      <c r="B2" s="17">
        <v>2.7533759999999998</v>
      </c>
      <c r="C2" s="2">
        <v>1</v>
      </c>
      <c r="D2" s="16">
        <v>1</v>
      </c>
      <c r="E2" s="14">
        <v>1</v>
      </c>
      <c r="F2" s="14">
        <v>1</v>
      </c>
    </row>
    <row r="3" spans="1:6" x14ac:dyDescent="0.3">
      <c r="A3" s="1">
        <v>2</v>
      </c>
      <c r="B3" s="17">
        <v>1.498038</v>
      </c>
      <c r="C3" s="2">
        <f>$B2/Tabella134[[#This Row],[Execution Time]]</f>
        <v>1.8379880884196529</v>
      </c>
      <c r="D3" s="16">
        <f>Tabella134[[#This Row],[Speedup]]/Tabella134[[#This Row],[N Processors]]</f>
        <v>0.91899404420982644</v>
      </c>
      <c r="E3" s="14">
        <v>1</v>
      </c>
      <c r="F3" s="14">
        <v>2</v>
      </c>
    </row>
    <row r="4" spans="1:6" x14ac:dyDescent="0.3">
      <c r="A4" s="1">
        <v>4</v>
      </c>
      <c r="B4" s="17">
        <v>0.86882899999999996</v>
      </c>
      <c r="C4" s="2">
        <f>B2/Tabella134[[#This Row],[Execution Time]]</f>
        <v>3.1690654892965129</v>
      </c>
      <c r="D4" s="16">
        <f>Tabella134[[#This Row],[Speedup]]/Tabella134[[#This Row],[N Processors]]</f>
        <v>0.79226637232412822</v>
      </c>
      <c r="E4" s="14">
        <v>2</v>
      </c>
      <c r="F4" s="14">
        <v>2</v>
      </c>
    </row>
    <row r="5" spans="1:6" x14ac:dyDescent="0.3">
      <c r="A5" s="1">
        <v>8</v>
      </c>
      <c r="B5" s="17">
        <v>0.48368100000000003</v>
      </c>
      <c r="C5" s="2">
        <f>$B2/Tabella134[[#This Row],[Execution Time]]</f>
        <v>5.6925452932821416</v>
      </c>
      <c r="D5" s="16">
        <f>Tabella134[[#This Row],[Speedup]]/Tabella134[[#This Row],[N Processors]]</f>
        <v>0.71156816166026771</v>
      </c>
      <c r="E5" s="14">
        <v>2</v>
      </c>
      <c r="F5" s="14">
        <v>4</v>
      </c>
    </row>
    <row r="6" spans="1:6" x14ac:dyDescent="0.3">
      <c r="A6" s="1">
        <v>16</v>
      </c>
      <c r="B6" s="17">
        <v>0.26055899999999999</v>
      </c>
      <c r="C6" s="2">
        <f>$B2/Tabella134[[#This Row],[Execution Time]]</f>
        <v>10.567188237596859</v>
      </c>
      <c r="D6" s="16">
        <f>Tabella134[[#This Row],[Speedup]]/Tabella134[[#This Row],[N Processors]]</f>
        <v>0.66044926484980371</v>
      </c>
      <c r="E6" s="14">
        <v>4</v>
      </c>
      <c r="F6" s="14">
        <v>4</v>
      </c>
    </row>
    <row r="7" spans="1:6" x14ac:dyDescent="0.3">
      <c r="A7" s="1">
        <v>20</v>
      </c>
      <c r="B7" s="17">
        <v>0.234514</v>
      </c>
      <c r="C7" s="2">
        <f>$B2/Tabella134[[#This Row],[Execution Time]]</f>
        <v>11.740774537980673</v>
      </c>
      <c r="D7" s="16">
        <f>Tabella134[[#This Row],[Speedup]]/Tabella134[[#This Row],[N Processors]]</f>
        <v>0.58703872689903369</v>
      </c>
      <c r="E7" s="14">
        <v>4</v>
      </c>
      <c r="F7" s="14">
        <v>5</v>
      </c>
    </row>
    <row r="11" spans="1:6" x14ac:dyDescent="0.3">
      <c r="A11" s="4" t="s">
        <v>4</v>
      </c>
      <c r="B11" s="5"/>
    </row>
    <row r="12" spans="1:6" x14ac:dyDescent="0.3">
      <c r="A12" s="6">
        <v>1</v>
      </c>
      <c r="B12" s="7">
        <v>1</v>
      </c>
    </row>
    <row r="13" spans="1:6" x14ac:dyDescent="0.3">
      <c r="A13" s="8">
        <v>20</v>
      </c>
      <c r="B13" s="9">
        <v>20</v>
      </c>
    </row>
    <row r="16" spans="1:6" x14ac:dyDescent="0.3">
      <c r="A16" s="4" t="s">
        <v>5</v>
      </c>
      <c r="B16" s="5"/>
    </row>
    <row r="17" spans="1:4" x14ac:dyDescent="0.3">
      <c r="A17" s="6">
        <v>1</v>
      </c>
      <c r="B17" s="7">
        <v>1</v>
      </c>
    </row>
    <row r="18" spans="1:4" x14ac:dyDescent="0.3">
      <c r="A18" s="8">
        <v>20</v>
      </c>
      <c r="B18" s="9">
        <v>1</v>
      </c>
      <c r="D18" s="3"/>
    </row>
    <row r="19" spans="1:4" x14ac:dyDescent="0.3">
      <c r="D19" s="3"/>
    </row>
    <row r="23" spans="1:4" x14ac:dyDescent="0.3">
      <c r="B23" t="s">
        <v>7</v>
      </c>
    </row>
    <row r="24" spans="1:4" x14ac:dyDescent="0.3">
      <c r="A24" t="s">
        <v>6</v>
      </c>
      <c r="B24" s="12">
        <v>1.798848</v>
      </c>
      <c r="C24" s="13"/>
    </row>
    <row r="36" spans="9:9" x14ac:dyDescent="0.3">
      <c r="I36" s="11"/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openmp</vt:lpstr>
      <vt:lpstr>mpi</vt:lpstr>
      <vt:lpstr>hybrid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fantini</dc:creator>
  <cp:lastModifiedBy>federico fantini</cp:lastModifiedBy>
  <dcterms:created xsi:type="dcterms:W3CDTF">2015-06-05T18:19:34Z</dcterms:created>
  <dcterms:modified xsi:type="dcterms:W3CDTF">2026-10-02T00:46:45Z</dcterms:modified>
</cp:coreProperties>
</file>