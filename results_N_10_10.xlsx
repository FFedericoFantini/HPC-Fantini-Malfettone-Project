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0ed4d0ff0bbf80d/Desktop/Federico-Fantini-EXAM-SEPTEMBER/Project/"/>
    </mc:Choice>
  </mc:AlternateContent>
  <xr:revisionPtr revIDLastSave="518" documentId="11_AD4D5CB4E552A5DACE1C647EE0DB73DC5ADEDD88" xr6:coauthVersionLast="47" xr6:coauthVersionMax="47" xr10:uidLastSave="{9753C475-A344-4186-8616-9E9A0F385268}"/>
  <bookViews>
    <workbookView xWindow="-108" yWindow="-108" windowWidth="23256" windowHeight="12456" xr2:uid="{00000000-000D-0000-FFFF-FFFF00000000}"/>
  </bookViews>
  <sheets>
    <sheet name="openmp" sheetId="1" r:id="rId1"/>
    <sheet name="mpi" sheetId="5" r:id="rId2"/>
    <sheet name="hybri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D7" i="6" s="1"/>
  <c r="C6" i="6"/>
  <c r="D6" i="6" s="1"/>
  <c r="C5" i="6"/>
  <c r="D5" i="6" s="1"/>
  <c r="C4" i="6"/>
  <c r="D4" i="6" s="1"/>
  <c r="C3" i="6"/>
  <c r="D3" i="6" s="1"/>
  <c r="C7" i="5"/>
  <c r="D7" i="5" s="1"/>
  <c r="C6" i="5"/>
  <c r="D6" i="5" s="1"/>
  <c r="C5" i="5"/>
  <c r="D5" i="5" s="1"/>
  <c r="C4" i="5"/>
  <c r="D4" i="5" s="1"/>
  <c r="C3" i="5"/>
  <c r="D3" i="5" s="1"/>
  <c r="C7" i="1"/>
  <c r="D7" i="1" s="1"/>
  <c r="C6" i="1"/>
  <c r="D6" i="1" s="1"/>
  <c r="C5" i="1"/>
  <c r="D5" i="1" s="1"/>
  <c r="C4" i="1"/>
  <c r="D4" i="1" s="1"/>
  <c r="C3" i="1"/>
  <c r="D3" i="1" s="1"/>
</calcChain>
</file>

<file path=xl/sharedStrings.xml><?xml version="1.0" encoding="utf-8"?>
<sst xmlns="http://schemas.openxmlformats.org/spreadsheetml/2006/main" count="26" uniqueCount="10">
  <si>
    <t>N Processors</t>
  </si>
  <si>
    <t>Execution Time</t>
  </si>
  <si>
    <t>Speedup</t>
  </si>
  <si>
    <t>Efficiency</t>
  </si>
  <si>
    <t>IDEAL SPEED UP</t>
  </si>
  <si>
    <t>IDEAL EFFICIENCY</t>
  </si>
  <si>
    <t>sequential</t>
  </si>
  <si>
    <t>execution time</t>
  </si>
  <si>
    <t>mpi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</si>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</sst>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00"/>
    <numFmt numFmtId="166" formatCode="0.000000"/>
    <numFmt numFmtId="167" formatCode="#,##0.000000"/>
    <numFmt numFmtId="168" formatCode="0.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1" fillId="0" borderId="0" xfId="0" applyNumberFormat="1" applyFont="1"/>
    <xf numFmtId="0" fontId="2" fillId="0" borderId="0" xfId="0" applyFont="1"/>
    <xf numFmtId="167" fontId="0" fillId="0" borderId="0" xfId="0" applyNumberFormat="1"/>
    <xf numFmtId="166" fontId="0" fillId="0" borderId="0" xfId="0" applyNumberFormat="1"/>
    <xf numFmtId="0" fontId="3" fillId="0" borderId="0" xfId="0" applyFont="1"/>
    <xf numFmtId="10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/>
  </cellXfs>
  <cellStyles count="1">
    <cellStyle name="Normale" xfId="0" builtinId="0"/>
  </cellStyles>
  <dxfs count="2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0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b="1"/>
              <a:t>OPENMP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openmp!$B$1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openmp!$A$2:$A$7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openmp!$B$2:$B$7</c:f>
              <c:numCache>
                <c:formatCode>0.00000000</c:formatCode>
                <c:ptCount val="6"/>
                <c:pt idx="0">
                  <c:v>268.12517200000002</c:v>
                </c:pt>
                <c:pt idx="1">
                  <c:v>134.851541</c:v>
                </c:pt>
                <c:pt idx="2">
                  <c:v>86.847385000000003</c:v>
                </c:pt>
                <c:pt idx="3">
                  <c:v>47.035634000000002</c:v>
                </c:pt>
                <c:pt idx="4">
                  <c:v>23.240413</c:v>
                </c:pt>
                <c:pt idx="5">
                  <c:v>18.707732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4-4B36-B8E8-B8F4C3FDA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62496"/>
        <c:axId val="684766928"/>
      </c:scatterChart>
      <c:valAx>
        <c:axId val="5029624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# Number of Tasks</a:t>
                </a:r>
              </a:p>
            </c:rich>
          </c:tx>
          <c:layout>
            <c:manualLayout>
              <c:xMode val="edge"/>
              <c:yMode val="edge"/>
              <c:x val="0.41823490813648301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66928"/>
        <c:crosses val="autoZero"/>
        <c:crossBetween val="midCat"/>
      </c:valAx>
      <c:valAx>
        <c:axId val="684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Execution</a:t>
                </a:r>
                <a:r>
                  <a:rPr lang="it-IT" baseline="0"/>
                  <a:t> Time [s]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6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SPEEDUP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OPENMP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openmp!$C$1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openmp!$A$2:$A$7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openmp!$C$2:$C$7</c:f>
              <c:numCache>
                <c:formatCode>0.000</c:formatCode>
                <c:ptCount val="6"/>
                <c:pt idx="0">
                  <c:v>1</c:v>
                </c:pt>
                <c:pt idx="1">
                  <c:v>1.9882989101325881</c:v>
                </c:pt>
                <c:pt idx="2">
                  <c:v>3.0873142812532586</c:v>
                </c:pt>
                <c:pt idx="3">
                  <c:v>5.7004689678468035</c:v>
                </c:pt>
                <c:pt idx="4">
                  <c:v>11.537022685440229</c:v>
                </c:pt>
                <c:pt idx="5">
                  <c:v>14.332318423205978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C-4594-922E-B8011DA0D39C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openmp!$A$12:$A$13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openmp!$B$12:$B$13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4C-4594-922E-B8011DA0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65904"/>
        <c:axId val="684789968"/>
      </c:scatterChart>
      <c:valAx>
        <c:axId val="23166590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89968"/>
        <c:crosses val="autoZero"/>
        <c:crossBetween val="midCat"/>
      </c:valAx>
      <c:valAx>
        <c:axId val="6847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Speedup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66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EFFICIENCY </a:t>
            </a: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OPENMP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openmp!$D$1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openmp!$A$2:$A$7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openmp!$D$2:$D$7</c:f>
              <c:numCache>
                <c:formatCode>0.00%</c:formatCode>
                <c:ptCount val="6"/>
                <c:pt idx="0">
                  <c:v>1</c:v>
                </c:pt>
                <c:pt idx="1">
                  <c:v>0.99414945506629404</c:v>
                </c:pt>
                <c:pt idx="2">
                  <c:v>0.77182857031331464</c:v>
                </c:pt>
                <c:pt idx="3">
                  <c:v>0.71255862098085043</c:v>
                </c:pt>
                <c:pt idx="4">
                  <c:v>0.72106391784001433</c:v>
                </c:pt>
                <c:pt idx="5">
                  <c:v>0.71661592116029893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0-4B55-91E7-FD420159422B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openmp!$A$17:$A$18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openmp!$B$17:$B$18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C0-4B55-91E7-FD4201594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14240"/>
        <c:axId val="684802928"/>
      </c:scatterChart>
      <c:valAx>
        <c:axId val="50291424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802928"/>
        <c:crosses val="autoZero"/>
        <c:crossBetween val="midCat"/>
      </c:valAx>
      <c:valAx>
        <c:axId val="684802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Efficiency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1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b="1"/>
              <a:t>MPI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mpi!$B$1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mpi!$A$2:$A$7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mpi!$B$2:$B$7</c:f>
              <c:numCache>
                <c:formatCode>0.000</c:formatCode>
                <c:ptCount val="6"/>
                <c:pt idx="0">
                  <c:v>780.44810099999995</c:v>
                </c:pt>
                <c:pt idx="1">
                  <c:v>408.31355000000002</c:v>
                </c:pt>
                <c:pt idx="2">
                  <c:v>225.24179799999999</c:v>
                </c:pt>
                <c:pt idx="3">
                  <c:v>123.883816</c:v>
                </c:pt>
                <c:pt idx="4">
                  <c:v>64.635080000000002</c:v>
                </c:pt>
                <c:pt idx="5">
                  <c:v>53.956037999999999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C-4E32-934D-3B351C1B9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62496"/>
        <c:axId val="684766928"/>
      </c:scatterChart>
      <c:valAx>
        <c:axId val="5029624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# Number of Tasks</a:t>
                </a:r>
              </a:p>
            </c:rich>
          </c:tx>
          <c:layout>
            <c:manualLayout>
              <c:xMode val="edge"/>
              <c:yMode val="edge"/>
              <c:x val="0.41823490813648301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66928"/>
        <c:crosses val="autoZero"/>
        <c:crossBetween val="midCat"/>
      </c:valAx>
      <c:valAx>
        <c:axId val="684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Execution</a:t>
                </a:r>
                <a:r>
                  <a:rPr lang="it-IT" baseline="0"/>
                  <a:t> Time [s]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6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SPEEDUP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MPI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mpi!$C$1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mpi!$A$2:$A$7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mpi!$C$2:$C$7</c:f>
              <c:numCache>
                <c:formatCode>0.000</c:formatCode>
                <c:ptCount val="6"/>
                <c:pt idx="0">
                  <c:v>1</c:v>
                </c:pt>
                <c:pt idx="1">
                  <c:v>1.9113940769293596</c:v>
                </c:pt>
                <c:pt idx="2">
                  <c:v>3.4649346077409664</c:v>
                </c:pt>
                <c:pt idx="3">
                  <c:v>6.2998390443510388</c:v>
                </c:pt>
                <c:pt idx="4">
                  <c:v>12.074682989484966</c:v>
                </c:pt>
                <c:pt idx="5">
                  <c:v>14.464518336205485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1-48B2-9E0C-04EF430721F4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mpi!$A$12:$A$13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mpi!$B$12:$B$13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1-48B2-9E0C-04EF4307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65904"/>
        <c:axId val="684789968"/>
      </c:scatterChart>
      <c:valAx>
        <c:axId val="23166590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89968"/>
        <c:crosses val="autoZero"/>
        <c:crossBetween val="midCat"/>
      </c:valAx>
      <c:valAx>
        <c:axId val="6847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Speedup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66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EFFICIENCY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MPI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mpi!$D$1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mpi!$A$2:$A$7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mpi!$D$2:$D$7</c:f>
              <c:numCache>
                <c:formatCode>0%</c:formatCode>
                <c:ptCount val="6"/>
                <c:pt idx="0">
                  <c:v>1</c:v>
                </c:pt>
                <c:pt idx="1">
                  <c:v>0.95569703846467979</c:v>
                </c:pt>
                <c:pt idx="2">
                  <c:v>0.8662336519352416</c:v>
                </c:pt>
                <c:pt idx="3">
                  <c:v>0.78747988054387985</c:v>
                </c:pt>
                <c:pt idx="4">
                  <c:v>0.75466768684281038</c:v>
                </c:pt>
                <c:pt idx="5">
                  <c:v>0.72322591681027426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B-442F-B32A-132C86019942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mpi!$A$17:$A$18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mpi!$B$17:$B$18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FB-442F-B32A-132C86019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14240"/>
        <c:axId val="684802928"/>
      </c:scatterChart>
      <c:valAx>
        <c:axId val="50291424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802928"/>
        <c:crosses val="autoZero"/>
        <c:crossBetween val="midCat"/>
      </c:valAx>
      <c:valAx>
        <c:axId val="684802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Efficiency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1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b="1"/>
              <a:t>HYBRID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hybrid!$B$1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hybrid!$A$2:$A$7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hybrid!$B$2:$B$7</c:f>
              <c:numCache>
                <c:formatCode>0.0000</c:formatCode>
                <c:ptCount val="6"/>
                <c:pt idx="0">
                  <c:v>268.44228500000003</c:v>
                </c:pt>
                <c:pt idx="1">
                  <c:v>138.111503</c:v>
                </c:pt>
                <c:pt idx="2">
                  <c:v>81.726650000000006</c:v>
                </c:pt>
                <c:pt idx="3">
                  <c:v>39.327877999999998</c:v>
                </c:pt>
                <c:pt idx="4">
                  <c:v>20.186207</c:v>
                </c:pt>
                <c:pt idx="5">
                  <c:v>17.637756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2-4A49-83AC-2841314E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62496"/>
        <c:axId val="684766928"/>
      </c:scatterChart>
      <c:valAx>
        <c:axId val="5029624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# Number of Tasks</a:t>
                </a:r>
              </a:p>
            </c:rich>
          </c:tx>
          <c:layout>
            <c:manualLayout>
              <c:xMode val="edge"/>
              <c:yMode val="edge"/>
              <c:x val="0.41823490813648301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66928"/>
        <c:crosses val="autoZero"/>
        <c:crossBetween val="midCat"/>
      </c:valAx>
      <c:valAx>
        <c:axId val="684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Execution</a:t>
                </a:r>
                <a:r>
                  <a:rPr lang="it-IT" baseline="0"/>
                  <a:t> Time [s]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6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SPEEDUP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HYBRID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hybrid!$C$1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hybrid!$A$2:$A$7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hybrid!$C$2:$C$7</c:f>
              <c:numCache>
                <c:formatCode>0.000</c:formatCode>
                <c:ptCount val="6"/>
                <c:pt idx="0">
                  <c:v>1</c:v>
                </c:pt>
                <c:pt idx="1">
                  <c:v>1.9436634832654021</c:v>
                </c:pt>
                <c:pt idx="2">
                  <c:v>3.2846358562353895</c:v>
                </c:pt>
                <c:pt idx="3">
                  <c:v>6.8257505528266753</c:v>
                </c:pt>
                <c:pt idx="4">
                  <c:v>13.298302400247854</c:v>
                </c:pt>
                <c:pt idx="5">
                  <c:v>15.219752728181524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E-47CF-A569-1FF8DBC229EE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hybrid!$A$12:$A$13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hybrid!$B$12:$B$13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EE-47CF-A569-1FF8DBC22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65904"/>
        <c:axId val="684789968"/>
      </c:scatterChart>
      <c:valAx>
        <c:axId val="23166590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789968"/>
        <c:crosses val="autoZero"/>
        <c:crossBetween val="midCat"/>
      </c:valAx>
      <c:valAx>
        <c:axId val="6847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Speedup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66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EFFICIENCY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HYBRID</a:t>
            </a:r>
            <a:endPara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hybrid!$D$1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hybrid!$A$2:$A$7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hybrid!$D$2:$D$7</c:f>
              <c:numCache>
                <c:formatCode>0%</c:formatCode>
                <c:ptCount val="6"/>
                <c:pt idx="0">
                  <c:v>1</c:v>
                </c:pt>
                <c:pt idx="1">
                  <c:v>0.97183174163270103</c:v>
                </c:pt>
                <c:pt idx="2">
                  <c:v>0.82115896405884736</c:v>
                </c:pt>
                <c:pt idx="3">
                  <c:v>0.85321881910333441</c:v>
                </c:pt>
                <c:pt idx="4">
                  <c:v>0.83114390001549088</c:v>
                </c:pt>
                <c:pt idx="5">
                  <c:v>0.76098763640907618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3-4498-8869-BF937118DE1F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hybrid!$A$17:$A$18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hybrid!$B$17:$B$18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13-4498-8869-BF937118D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14240"/>
        <c:axId val="684802928"/>
      </c:scatterChart>
      <c:valAx>
        <c:axId val="50291424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802928"/>
        <c:crosses val="autoZero"/>
        <c:crossBetween val="midCat"/>
      </c:valAx>
      <c:valAx>
        <c:axId val="684802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Efficiency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291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264160</xdr:colOff>
      <xdr:row>2</xdr:row>
      <xdr:rowOff>162560</xdr:rowOff>
    </xdr:from>
    <xdr:to>
      <xdr:col>14</xdr:col>
      <xdr:colOff>81280</xdr:colOff>
      <xdr:row>18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4ECED24-6AC1-92B5-EB59-F8B51BF60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284480</xdr:colOff>
      <xdr:row>21</xdr:row>
      <xdr:rowOff>50800</xdr:rowOff>
    </xdr:from>
    <xdr:to>
      <xdr:col>14</xdr:col>
      <xdr:colOff>497840</xdr:colOff>
      <xdr:row>37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6085A68-2667-3E07-0F9A-4469293DF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294640</xdr:colOff>
      <xdr:row>21</xdr:row>
      <xdr:rowOff>20320</xdr:rowOff>
    </xdr:from>
    <xdr:to>
      <xdr:col>25</xdr:col>
      <xdr:colOff>304800</xdr:colOff>
      <xdr:row>36</xdr:row>
      <xdr:rowOff>101600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375AAE8-927C-8963-4BD8-97F4BB21F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264160</xdr:colOff>
      <xdr:row>2</xdr:row>
      <xdr:rowOff>162560</xdr:rowOff>
    </xdr:from>
    <xdr:to>
      <xdr:col>14</xdr:col>
      <xdr:colOff>81280</xdr:colOff>
      <xdr:row>18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ED81AC0-0443-4676-BB0F-446B5220B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284480</xdr:colOff>
      <xdr:row>21</xdr:row>
      <xdr:rowOff>50800</xdr:rowOff>
    </xdr:from>
    <xdr:to>
      <xdr:col>14</xdr:col>
      <xdr:colOff>497840</xdr:colOff>
      <xdr:row>37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3E98796-15D2-48E5-84BD-F3DA7BEE7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294640</xdr:colOff>
      <xdr:row>21</xdr:row>
      <xdr:rowOff>20320</xdr:rowOff>
    </xdr:from>
    <xdr:to>
      <xdr:col>25</xdr:col>
      <xdr:colOff>304800</xdr:colOff>
      <xdr:row>36</xdr:row>
      <xdr:rowOff>101600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5950132-21DC-49FA-905E-F21DA3E89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418619</xdr:colOff>
      <xdr:row>2</xdr:row>
      <xdr:rowOff>162560</xdr:rowOff>
    </xdr:from>
    <xdr:to>
      <xdr:col>16</xdr:col>
      <xdr:colOff>235740</xdr:colOff>
      <xdr:row>18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219189B-B172-4053-9CAB-28991EB70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284480</xdr:colOff>
      <xdr:row>21</xdr:row>
      <xdr:rowOff>50800</xdr:rowOff>
    </xdr:from>
    <xdr:to>
      <xdr:col>14</xdr:col>
      <xdr:colOff>497840</xdr:colOff>
      <xdr:row>37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50BE912-4617-4F02-AF66-B5AFFD7CA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294640</xdr:colOff>
      <xdr:row>21</xdr:row>
      <xdr:rowOff>20320</xdr:rowOff>
    </xdr:from>
    <xdr:to>
      <xdr:col>25</xdr:col>
      <xdr:colOff>304800</xdr:colOff>
      <xdr:row>36</xdr:row>
      <xdr:rowOff>101600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2F0981A-2ECE-4086-AD67-1E57F4C88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86A00-09D9-4B8E-BFBE-A324D18DE3BC}" name="Tabella1" displayName="Tabella1" ref="A1:D7" totalsRowShown="0" headerRowDxfId="11" dataDxfId="10">
  <autoFilter ref="A1:D7" xr:uid="{12486A00-09D9-4B8E-BFBE-A324D18DE3BC}"/>
  <tableColumns count="4">
    <tableColumn id="1" xr3:uid="{675ABC18-0157-488F-816C-42699210BD5B}" name="N Processors" dataDxfId="9"/>
    <tableColumn id="2" xr3:uid="{03287469-C3A8-4147-B2EE-9D3A546B63CF}" name="Execution Time" dataDxfId="8"/>
    <tableColumn id="3" xr3:uid="{522FF196-2B72-4B79-951A-ED2BC8A8C1DA}" name="Speedup" dataDxfId="7"/>
    <tableColumn id="4" xr3:uid="{983E4EF1-3C27-4ABB-9F5A-D8DA88067B8B}" name="Efficiency" dataDxfId="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96E080-BF82-407B-9BBC-77D409B35C1C}" name="Tabella13" displayName="Tabella13" ref="A1:D7" totalsRowShown="0" headerRowDxfId="5" dataDxfId="4">
  <autoFilter ref="A1:D7" xr:uid="{12486A00-09D9-4B8E-BFBE-A324D18DE3BC}"/>
  <tableColumns count="4">
    <tableColumn id="1" xr3:uid="{DE8F23FA-0DB6-477E-A7F4-4C4773A4CEC4}" name="N Processors" dataDxfId="3"/>
    <tableColumn id="2" xr3:uid="{A63E1123-6325-4CBF-846F-667180F2B78D}" name="Execution Time" dataDxfId="2"/>
    <tableColumn id="3" xr3:uid="{97200323-EFCD-4CAE-824D-A418343A5015}" name="Speedup" dataDxfId="1"/>
    <tableColumn id="4" xr3:uid="{35473EA3-E916-4C26-8C7E-3FD2241D0B6B}" name="Efficiency" dataDxfId="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CF2781-61CA-44F9-8822-6083580278F2}" name="Tabella134" displayName="Tabella134" ref="A1:F7" totalsRowShown="0" headerRowDxfId="19" dataDxfId="18">
  <autoFilter ref="A1:F7" xr:uid="{12486A00-09D9-4B8E-BFBE-A324D18DE3BC}"/>
  <tableColumns count="6">
    <tableColumn id="1" xr3:uid="{CC2741F0-D2FE-4DCA-B61C-1A8D77D4EEAA}" name="N Processors" dataDxfId="17"/>
    <tableColumn id="2" xr3:uid="{B9DE8761-7F1C-4457-866F-20317834B193}" name="Execution Time" dataDxfId="16"/>
    <tableColumn id="3" xr3:uid="{C6713CDB-4D58-4497-B508-54065A1B92B2}" name="Speedup" dataDxfId="15"/>
    <tableColumn id="4" xr3:uid="{1C350D3A-6E6C-473D-9C52-248FC97C3A52}" name="Efficiency" dataDxfId="14"/>
    <tableColumn id="6" xr3:uid="{F87EDAD7-5437-429C-BFF3-24D0DD961B80}" name="mpi" dataDxfId="13"/>
    <tableColumn id="7" xr3:uid="{90184CFC-D15A-4756-A82C-54C2BBA97B32}" name="threads" dataDxfId="1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59" zoomScaleNormal="55" workbookViewId="0">
      <selection activeCell="D21" sqref="D21"/>
    </sheetView>
  </sheetViews>
  <sheetFormatPr defaultRowHeight="14.4" x14ac:dyDescent="0.3"/>
  <cols>
    <col min="1" max="1" width="16.21875" customWidth="1"/>
    <col min="2" max="2" width="20.6640625" customWidth="1"/>
    <col min="3" max="3" width="12.77734375" customWidth="1"/>
    <col min="4" max="4" width="2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1">
        <v>1</v>
      </c>
      <c r="B2" s="10">
        <v>268.12517200000002</v>
      </c>
      <c r="C2" s="2">
        <v>1</v>
      </c>
      <c r="D2" s="15">
        <v>1</v>
      </c>
    </row>
    <row r="3" spans="1:6" x14ac:dyDescent="0.3">
      <c r="A3" s="1">
        <v>2</v>
      </c>
      <c r="B3" s="10">
        <v>134.851541</v>
      </c>
      <c r="C3" s="2">
        <f>$B2/Tabella1[[#This Row],[Execution Time]]</f>
        <v>1.9882989101325881</v>
      </c>
      <c r="D3" s="15">
        <f>Tabella1[[#This Row],[Speedup]]/Tabella1[[#This Row],[N Processors]]</f>
        <v>0.99414945506629404</v>
      </c>
    </row>
    <row r="4" spans="1:6" x14ac:dyDescent="0.3">
      <c r="A4" s="1">
        <v>4</v>
      </c>
      <c r="B4" s="10">
        <v>86.847385000000003</v>
      </c>
      <c r="C4" s="2">
        <f>B2/Tabella1[[#This Row],[Execution Time]]</f>
        <v>3.0873142812532586</v>
      </c>
      <c r="D4" s="15">
        <f>Tabella1[[#This Row],[Speedup]]/Tabella1[[#This Row],[N Processors]]</f>
        <v>0.77182857031331464</v>
      </c>
    </row>
    <row r="5" spans="1:6" x14ac:dyDescent="0.3">
      <c r="A5" s="1">
        <v>8</v>
      </c>
      <c r="B5" s="10">
        <v>47.035634000000002</v>
      </c>
      <c r="C5" s="2">
        <f>$B2/Tabella1[[#This Row],[Execution Time]]</f>
        <v>5.7004689678468035</v>
      </c>
      <c r="D5" s="15">
        <f>Tabella1[[#This Row],[Speedup]]/Tabella1[[#This Row],[N Processors]]</f>
        <v>0.71255862098085043</v>
      </c>
    </row>
    <row r="6" spans="1:6" x14ac:dyDescent="0.3">
      <c r="A6" s="1">
        <v>16</v>
      </c>
      <c r="B6" s="10">
        <v>23.240413</v>
      </c>
      <c r="C6" s="2">
        <f>$B2/Tabella1[[#This Row],[Execution Time]]</f>
        <v>11.537022685440229</v>
      </c>
      <c r="D6" s="15">
        <f>Tabella1[[#This Row],[Speedup]]/Tabella1[[#This Row],[N Processors]]</f>
        <v>0.72106391784001433</v>
      </c>
    </row>
    <row r="7" spans="1:6" x14ac:dyDescent="0.3">
      <c r="A7" s="1">
        <v>20</v>
      </c>
      <c r="B7" s="10">
        <v>18.707732</v>
      </c>
      <c r="C7" s="2">
        <f>$B2/Tabella1[[#This Row],[Execution Time]]</f>
        <v>14.332318423205978</v>
      </c>
      <c r="D7" s="15">
        <f>Tabella1[[#This Row],[Speedup]]/Tabella1[[#This Row],[N Processors]]</f>
        <v>0.71661592116029893</v>
      </c>
      <c r="F7" s="11"/>
    </row>
    <row r="11" spans="1:6" x14ac:dyDescent="0.3">
      <c r="A11" s="4" t="s">
        <v>4</v>
      </c>
      <c r="B11" s="5"/>
    </row>
    <row r="12" spans="1:6" x14ac:dyDescent="0.3">
      <c r="A12" s="6">
        <v>1</v>
      </c>
      <c r="B12" s="7">
        <v>1</v>
      </c>
    </row>
    <row r="13" spans="1:6" x14ac:dyDescent="0.3">
      <c r="A13" s="8">
        <v>20</v>
      </c>
      <c r="B13" s="9">
        <v>20</v>
      </c>
    </row>
    <row r="16" spans="1:6" x14ac:dyDescent="0.3">
      <c r="A16" s="4" t="s">
        <v>5</v>
      </c>
      <c r="B16" s="5"/>
    </row>
    <row r="17" spans="1:3" x14ac:dyDescent="0.3">
      <c r="A17" s="6">
        <v>1</v>
      </c>
      <c r="B17" s="7">
        <v>1</v>
      </c>
    </row>
    <row r="18" spans="1:3" x14ac:dyDescent="0.3">
      <c r="A18" s="8">
        <v>20</v>
      </c>
      <c r="B18" s="9">
        <v>1</v>
      </c>
    </row>
    <row r="23" spans="1:3" x14ac:dyDescent="0.3">
      <c r="B23" t="s">
        <v>7</v>
      </c>
    </row>
    <row r="24" spans="1:3" x14ac:dyDescent="0.3">
      <c r="A24" t="s">
        <v>6</v>
      </c>
      <c r="B24" s="12">
        <v>182.21281400000001</v>
      </c>
      <c r="C24" s="13"/>
    </row>
    <row r="36" spans="9:9" x14ac:dyDescent="0.3">
      <c r="I36" s="1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F816-74E9-48EF-AA9A-C99C66178FAC}">
  <dimension ref="A1:I36"/>
  <sheetViews>
    <sheetView zoomScale="66" zoomScaleNormal="55" workbookViewId="0">
      <selection activeCell="B24" sqref="B24"/>
    </sheetView>
  </sheetViews>
  <sheetFormatPr defaultRowHeight="14.4" x14ac:dyDescent="0.3"/>
  <cols>
    <col min="1" max="1" width="16.21875" customWidth="1"/>
    <col min="2" max="2" width="20.6640625" customWidth="1"/>
    <col min="3" max="3" width="12.77734375" customWidth="1"/>
    <col min="4" max="4" width="2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1">
        <v>1</v>
      </c>
      <c r="B2" s="2">
        <v>780.44810099999995</v>
      </c>
      <c r="C2" s="2">
        <v>1</v>
      </c>
      <c r="D2" s="16">
        <v>1</v>
      </c>
    </row>
    <row r="3" spans="1:6" x14ac:dyDescent="0.3">
      <c r="A3" s="1">
        <v>2</v>
      </c>
      <c r="B3" s="2">
        <v>408.31355000000002</v>
      </c>
      <c r="C3" s="2">
        <f>$B2/Tabella13[[#This Row],[Execution Time]]</f>
        <v>1.9113940769293596</v>
      </c>
      <c r="D3" s="16">
        <f>Tabella13[[#This Row],[Speedup]]/Tabella13[[#This Row],[N Processors]]</f>
        <v>0.95569703846467979</v>
      </c>
    </row>
    <row r="4" spans="1:6" x14ac:dyDescent="0.3">
      <c r="A4" s="1">
        <v>4</v>
      </c>
      <c r="B4" s="2">
        <v>225.24179799999999</v>
      </c>
      <c r="C4" s="2">
        <f>B2/Tabella13[[#This Row],[Execution Time]]</f>
        <v>3.4649346077409664</v>
      </c>
      <c r="D4" s="16">
        <f>Tabella13[[#This Row],[Speedup]]/Tabella13[[#This Row],[N Processors]]</f>
        <v>0.8662336519352416</v>
      </c>
    </row>
    <row r="5" spans="1:6" x14ac:dyDescent="0.3">
      <c r="A5" s="1">
        <v>8</v>
      </c>
      <c r="B5" s="2">
        <v>123.883816</v>
      </c>
      <c r="C5" s="2">
        <f>$B2/Tabella13[[#This Row],[Execution Time]]</f>
        <v>6.2998390443510388</v>
      </c>
      <c r="D5" s="16">
        <f>Tabella13[[#This Row],[Speedup]]/Tabella13[[#This Row],[N Processors]]</f>
        <v>0.78747988054387985</v>
      </c>
    </row>
    <row r="6" spans="1:6" x14ac:dyDescent="0.3">
      <c r="A6" s="1">
        <v>16</v>
      </c>
      <c r="B6" s="2">
        <v>64.635080000000002</v>
      </c>
      <c r="C6" s="2">
        <f>$B2/Tabella13[[#This Row],[Execution Time]]</f>
        <v>12.074682989484966</v>
      </c>
      <c r="D6" s="16">
        <f>Tabella13[[#This Row],[Speedup]]/Tabella13[[#This Row],[N Processors]]</f>
        <v>0.75466768684281038</v>
      </c>
    </row>
    <row r="7" spans="1:6" x14ac:dyDescent="0.3">
      <c r="A7" s="1">
        <v>20</v>
      </c>
      <c r="B7" s="2">
        <v>53.956037999999999</v>
      </c>
      <c r="C7" s="2">
        <f>$B2/Tabella13[[#This Row],[Execution Time]]</f>
        <v>14.464518336205485</v>
      </c>
      <c r="D7" s="16">
        <f>Tabella13[[#This Row],[Speedup]]/Tabella13[[#This Row],[N Processors]]</f>
        <v>0.72322591681027426</v>
      </c>
      <c r="F7" s="11"/>
    </row>
    <row r="11" spans="1:6" x14ac:dyDescent="0.3">
      <c r="A11" s="4" t="s">
        <v>4</v>
      </c>
      <c r="B11" s="5"/>
    </row>
    <row r="12" spans="1:6" x14ac:dyDescent="0.3">
      <c r="A12" s="6">
        <v>1</v>
      </c>
      <c r="B12" s="7">
        <v>1</v>
      </c>
    </row>
    <row r="13" spans="1:6" x14ac:dyDescent="0.3">
      <c r="A13" s="8">
        <v>20</v>
      </c>
      <c r="B13" s="9">
        <v>20</v>
      </c>
    </row>
    <row r="16" spans="1:6" x14ac:dyDescent="0.3">
      <c r="A16" s="4" t="s">
        <v>5</v>
      </c>
      <c r="B16" s="5"/>
    </row>
    <row r="17" spans="1:4" x14ac:dyDescent="0.3">
      <c r="A17" s="6">
        <v>1</v>
      </c>
      <c r="B17" s="7">
        <v>1</v>
      </c>
    </row>
    <row r="18" spans="1:4" x14ac:dyDescent="0.3">
      <c r="A18" s="8">
        <v>20</v>
      </c>
      <c r="B18" s="9">
        <v>1</v>
      </c>
    </row>
    <row r="19" spans="1:4" x14ac:dyDescent="0.3">
      <c r="D19" s="3"/>
    </row>
    <row r="23" spans="1:4" x14ac:dyDescent="0.3">
      <c r="B23" t="s">
        <v>7</v>
      </c>
    </row>
    <row r="24" spans="1:4" x14ac:dyDescent="0.3">
      <c r="A24" t="s">
        <v>6</v>
      </c>
      <c r="B24" s="12">
        <v>182.21281400000001</v>
      </c>
      <c r="C24" s="13"/>
    </row>
    <row r="36" spans="9:9" x14ac:dyDescent="0.3">
      <c r="I36" s="1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8718-CA81-4D21-AD34-527B2DD49BC9}">
  <dimension ref="A1:I36"/>
  <sheetViews>
    <sheetView zoomScale="74" zoomScaleNormal="55" workbookViewId="0">
      <selection activeCell="B24" sqref="B24"/>
    </sheetView>
  </sheetViews>
  <sheetFormatPr defaultRowHeight="14.4" x14ac:dyDescent="0.3"/>
  <cols>
    <col min="1" max="1" width="16.21875" customWidth="1"/>
    <col min="2" max="2" width="20.6640625" customWidth="1"/>
    <col min="3" max="3" width="12.77734375" customWidth="1"/>
    <col min="4" max="4" width="2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3">
      <c r="A2" s="1">
        <v>1</v>
      </c>
      <c r="B2" s="17">
        <v>268.44228500000003</v>
      </c>
      <c r="C2" s="2">
        <v>1</v>
      </c>
      <c r="D2" s="16">
        <v>1</v>
      </c>
      <c r="E2" s="14">
        <v>1</v>
      </c>
      <c r="F2" s="14">
        <v>1</v>
      </c>
    </row>
    <row r="3" spans="1:6" x14ac:dyDescent="0.3">
      <c r="A3" s="1">
        <v>2</v>
      </c>
      <c r="B3" s="17">
        <v>138.111503</v>
      </c>
      <c r="C3" s="2">
        <f>$B2/Tabella134[[#This Row],[Execution Time]]</f>
        <v>1.9436634832654021</v>
      </c>
      <c r="D3" s="16">
        <f>Tabella134[[#This Row],[Speedup]]/Tabella134[[#This Row],[N Processors]]</f>
        <v>0.97183174163270103</v>
      </c>
      <c r="E3" s="14">
        <v>1</v>
      </c>
      <c r="F3" s="14">
        <v>2</v>
      </c>
    </row>
    <row r="4" spans="1:6" x14ac:dyDescent="0.3">
      <c r="A4" s="1">
        <v>4</v>
      </c>
      <c r="B4" s="17">
        <v>81.726650000000006</v>
      </c>
      <c r="C4" s="2">
        <f>B2/Tabella134[[#This Row],[Execution Time]]</f>
        <v>3.2846358562353895</v>
      </c>
      <c r="D4" s="16">
        <f>Tabella134[[#This Row],[Speedup]]/Tabella134[[#This Row],[N Processors]]</f>
        <v>0.82115896405884736</v>
      </c>
      <c r="E4" s="14">
        <v>2</v>
      </c>
      <c r="F4" s="14">
        <v>2</v>
      </c>
    </row>
    <row r="5" spans="1:6" x14ac:dyDescent="0.3">
      <c r="A5" s="1">
        <v>8</v>
      </c>
      <c r="B5" s="17">
        <v>39.327877999999998</v>
      </c>
      <c r="C5" s="2">
        <f>$B2/Tabella134[[#This Row],[Execution Time]]</f>
        <v>6.8257505528266753</v>
      </c>
      <c r="D5" s="16">
        <f>Tabella134[[#This Row],[Speedup]]/Tabella134[[#This Row],[N Processors]]</f>
        <v>0.85321881910333441</v>
      </c>
      <c r="E5" s="14">
        <v>2</v>
      </c>
      <c r="F5" s="14">
        <v>4</v>
      </c>
    </row>
    <row r="6" spans="1:6" x14ac:dyDescent="0.3">
      <c r="A6" s="1">
        <v>16</v>
      </c>
      <c r="B6" s="17">
        <v>20.186207</v>
      </c>
      <c r="C6" s="2">
        <f>$B2/Tabella134[[#This Row],[Execution Time]]</f>
        <v>13.298302400247854</v>
      </c>
      <c r="D6" s="16">
        <f>Tabella134[[#This Row],[Speedup]]/Tabella134[[#This Row],[N Processors]]</f>
        <v>0.83114390001549088</v>
      </c>
      <c r="E6" s="14">
        <v>4</v>
      </c>
      <c r="F6" s="14">
        <v>4</v>
      </c>
    </row>
    <row r="7" spans="1:6" x14ac:dyDescent="0.3">
      <c r="A7" s="1">
        <v>20</v>
      </c>
      <c r="B7" s="17">
        <v>17.637756</v>
      </c>
      <c r="C7" s="2">
        <f>$B2/Tabella134[[#This Row],[Execution Time]]</f>
        <v>15.219752728181524</v>
      </c>
      <c r="D7" s="16">
        <f>Tabella134[[#This Row],[Speedup]]/Tabella134[[#This Row],[N Processors]]</f>
        <v>0.76098763640907618</v>
      </c>
      <c r="E7" s="14">
        <v>4</v>
      </c>
      <c r="F7" s="14">
        <v>5</v>
      </c>
    </row>
    <row r="11" spans="1:6" x14ac:dyDescent="0.3">
      <c r="A11" s="4" t="s">
        <v>4</v>
      </c>
      <c r="B11" s="5"/>
    </row>
    <row r="12" spans="1:6" x14ac:dyDescent="0.3">
      <c r="A12" s="6">
        <v>1</v>
      </c>
      <c r="B12" s="7">
        <v>1</v>
      </c>
      <c r="D12" s="11"/>
    </row>
    <row r="13" spans="1:6" x14ac:dyDescent="0.3">
      <c r="A13" s="8">
        <v>20</v>
      </c>
      <c r="B13" s="9">
        <v>20</v>
      </c>
    </row>
    <row r="16" spans="1:6" x14ac:dyDescent="0.3">
      <c r="A16" s="4" t="s">
        <v>5</v>
      </c>
      <c r="B16" s="5"/>
    </row>
    <row r="17" spans="1:4" x14ac:dyDescent="0.3">
      <c r="A17" s="6">
        <v>1</v>
      </c>
      <c r="B17" s="7">
        <v>1</v>
      </c>
    </row>
    <row r="18" spans="1:4" x14ac:dyDescent="0.3">
      <c r="A18" s="8">
        <v>20</v>
      </c>
      <c r="B18" s="9">
        <v>1</v>
      </c>
      <c r="D18" s="3"/>
    </row>
    <row r="19" spans="1:4" x14ac:dyDescent="0.3">
      <c r="D19" s="3"/>
    </row>
    <row r="23" spans="1:4" x14ac:dyDescent="0.3">
      <c r="B23" t="s">
        <v>7</v>
      </c>
    </row>
    <row r="24" spans="1:4" x14ac:dyDescent="0.3">
      <c r="A24" t="s">
        <v>6</v>
      </c>
      <c r="B24" s="12">
        <v>182.21281400000001</v>
      </c>
      <c r="C24" s="13"/>
    </row>
    <row r="36" spans="9:9" x14ac:dyDescent="0.3">
      <c r="I36" s="1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openmp</vt:lpstr>
      <vt:lpstr>mpi</vt:lpstr>
      <vt:lpstr>hybrid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fantini</dc:creator>
  <cp:lastModifiedBy>federico fantini</cp:lastModifiedBy>
  <dcterms:created xsi:type="dcterms:W3CDTF">2015-06-05T18:19:34Z</dcterms:created>
  <dcterms:modified xsi:type="dcterms:W3CDTF">2026-10-09T13:43:06Z</dcterms:modified>
</cp:coreProperties>
</file>